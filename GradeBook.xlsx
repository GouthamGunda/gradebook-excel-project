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da\OneDrive\Desktop\DATA ANALYST\EXCEL\"/>
    </mc:Choice>
  </mc:AlternateContent>
  <xr:revisionPtr revIDLastSave="0" documentId="13_ncr:1_{2683990A-6CC4-462B-B7B7-87F303EABCCC}" xr6:coauthVersionLast="47" xr6:coauthVersionMax="47" xr10:uidLastSave="{00000000-0000-0000-0000-000000000000}"/>
  <bookViews>
    <workbookView xWindow="-108" yWindow="-108" windowWidth="23256" windowHeight="13176" xr2:uid="{0F249CF2-808B-4D08-B18C-6BB8A4214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F24" i="1"/>
  <c r="E24" i="1"/>
  <c r="D24" i="1"/>
  <c r="F23" i="1"/>
  <c r="E23" i="1"/>
  <c r="D23" i="1"/>
  <c r="F22" i="1"/>
  <c r="E22" i="1"/>
  <c r="D22" i="1"/>
  <c r="C24" i="1"/>
  <c r="C23" i="1"/>
  <c r="C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<sst xmlns="http://schemas.openxmlformats.org/spreadsheetml/2006/main" count="50" uniqueCount="46">
  <si>
    <t>GRADE BOOK</t>
  </si>
  <si>
    <t>Safety Test</t>
  </si>
  <si>
    <t>Financial Skill Test</t>
  </si>
  <si>
    <t>Company Philosophy Test</t>
  </si>
  <si>
    <t>Drug Test</t>
  </si>
  <si>
    <t>Points Possible</t>
  </si>
  <si>
    <t>First Name</t>
  </si>
  <si>
    <t>Last Name</t>
  </si>
  <si>
    <t>Kern</t>
  </si>
  <si>
    <t>John</t>
  </si>
  <si>
    <t xml:space="preserve">Howard </t>
  </si>
  <si>
    <t>Gelenda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</si>
  <si>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</si>
  <si>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</si>
  <si>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</si>
  <si>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</si>
  <si>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</si>
  <si>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</si>
  <si>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</si>
  <si>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</si>
  <si>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</si>
  <si>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</si>
  <si>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</si>
  <si>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</si>
  <si>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Westernfield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</si>
  <si>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</si>
  <si>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</si>
  <si>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</si>
  <si>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</si>
  <si>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</si>
  <si>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</si>
  <si>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</si>
  <si>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</si>
  <si>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</si>
  <si>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</si>
  <si>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</si>
  <si>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 xml:space="preserve">Norman </t>
  </si>
  <si>
    <t xml:space="preserve">Bill </t>
  </si>
  <si>
    <t>Mann</t>
  </si>
  <si>
    <t>Trent</t>
  </si>
  <si>
    <t>Underhill</t>
  </si>
  <si>
    <t>Genesis</t>
  </si>
  <si>
    <t>Fire Employee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</si>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</sst>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 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Westernfield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C-4A0E-9A97-8F90CA29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418527"/>
        <c:axId val="2001097247"/>
      </c:barChart>
      <c:catAx>
        <c:axId val="182741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97247"/>
        <c:crosses val="autoZero"/>
        <c:auto val="1"/>
        <c:lblAlgn val="ctr"/>
        <c:lblOffset val="100"/>
        <c:noMultiLvlLbl val="0"/>
      </c:catAx>
      <c:valAx>
        <c:axId val="200109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1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 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Westernfield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4-468A-958E-B55D98A6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46735"/>
        <c:axId val="1820978639"/>
      </c:barChart>
      <c:catAx>
        <c:axId val="209934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978639"/>
        <c:crosses val="autoZero"/>
        <c:auto val="1"/>
        <c:lblAlgn val="ctr"/>
        <c:lblOffset val="100"/>
        <c:noMultiLvlLbl val="0"/>
      </c:catAx>
      <c:valAx>
        <c:axId val="18209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4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 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Westernfield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3-4988-AC1A-62DBBA096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822223"/>
        <c:axId val="2102808783"/>
      </c:barChart>
      <c:catAx>
        <c:axId val="210282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08783"/>
        <c:crosses val="autoZero"/>
        <c:auto val="1"/>
        <c:lblAlgn val="ctr"/>
        <c:lblOffset val="100"/>
        <c:noMultiLvlLbl val="0"/>
      </c:catAx>
      <c:valAx>
        <c:axId val="21028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2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Drug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 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Westernfield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C-42A1-93A5-1D1238E6E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40495"/>
        <c:axId val="2099334735"/>
      </c:barChart>
      <c:catAx>
        <c:axId val="209934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34735"/>
        <c:crosses val="autoZero"/>
        <c:auto val="1"/>
        <c:lblAlgn val="ctr"/>
        <c:lblOffset val="100"/>
        <c:noMultiLvlLbl val="0"/>
      </c:catAx>
      <c:valAx>
        <c:axId val="20993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4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0</xdr:row>
      <xdr:rowOff>60960</xdr:rowOff>
    </xdr:from>
    <xdr:to>
      <xdr:col>21</xdr:col>
      <xdr:colOff>495300</xdr:colOff>
      <xdr:row>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281AD-FB4B-545E-9455-96989EABC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198120</xdr:colOff>
      <xdr:row>8</xdr:row>
      <xdr:rowOff>114300</xdr:rowOff>
    </xdr:from>
    <xdr:to>
      <xdr:col>21</xdr:col>
      <xdr:colOff>502920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CD606-A741-F69F-78A2-62F8E65B5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24</xdr:row>
      <xdr:rowOff>144780</xdr:rowOff>
    </xdr:from>
    <xdr:to>
      <xdr:col>6</xdr:col>
      <xdr:colOff>396240</xdr:colOff>
      <xdr:row>39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2B7AB5-9118-DBD8-B0A5-CE33433FC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24</xdr:row>
      <xdr:rowOff>152400</xdr:rowOff>
    </xdr:from>
    <xdr:to>
      <xdr:col>16</xdr:col>
      <xdr:colOff>38100</xdr:colOff>
      <xdr:row>39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9EA4DE-C63B-D108-74B1-29F269B3C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76D6-7DE1-4A93-8410-7D6B23E674F7}">
  <dimension ref="A1:M24"/>
  <sheetViews>
    <sheetView tabSelected="1" topLeftCell="A17" workbookViewId="0">
      <selection activeCell="F4" sqref="F4:F20"/>
    </sheetView>
  </sheetViews>
  <sheetFormatPr defaultRowHeight="14.4" x14ac:dyDescent="0.3"/>
  <cols>
    <col min="1" max="1" width="13.77734375" bestFit="1" customWidth="1"/>
    <col min="2" max="2" width="13.109375" bestFit="1" customWidth="1"/>
    <col min="3" max="6" width="8.88671875" customWidth="1"/>
    <col min="8" max="11" width="5.44140625" bestFit="1" customWidth="1"/>
  </cols>
  <sheetData>
    <row r="1" spans="1:13" ht="119.4" x14ac:dyDescent="0.3">
      <c r="A1" s="1" t="s">
        <v>0</v>
      </c>
      <c r="C1" s="2" t="s">
        <v>1</v>
      </c>
      <c r="D1" s="2" t="s">
        <v>3</v>
      </c>
      <c r="E1" s="2" t="s">
        <v>2</v>
      </c>
      <c r="F1" s="2" t="s">
        <v>4</v>
      </c>
      <c r="H1" s="2" t="s">
        <v>1</v>
      </c>
      <c r="I1" s="2" t="s">
        <v>3</v>
      </c>
      <c r="J1" s="2" t="s">
        <v>2</v>
      </c>
      <c r="K1" s="2" t="s">
        <v>4</v>
      </c>
      <c r="M1" s="2" t="s">
        <v>42</v>
      </c>
    </row>
    <row r="2" spans="1:13" x14ac:dyDescent="0.3">
      <c r="B2" t="s">
        <v>5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7</v>
      </c>
      <c r="B3" t="s">
        <v>6</v>
      </c>
    </row>
    <row r="4" spans="1:13" x14ac:dyDescent="0.3">
      <c r="A4" t="s">
        <v>8</v>
      </c>
      <c r="B4" t="s">
        <v>9</v>
      </c>
      <c r="C4">
        <v>10</v>
      </c>
      <c r="D4">
        <v>19</v>
      </c>
      <c r="E4">
        <v>93</v>
      </c>
      <c r="F4">
        <v>1</v>
      </c>
      <c r="H4" s="3">
        <f>C4/C$2</f>
        <v>1</v>
      </c>
      <c r="I4" s="3">
        <f t="shared" ref="I4:I20" si="0">D4/D$2</f>
        <v>0.95</v>
      </c>
      <c r="J4" s="3">
        <f t="shared" ref="J4:J20" si="1">E4/E$2</f>
        <v>0.93</v>
      </c>
      <c r="K4" s="3">
        <f t="shared" ref="K4:K20" si="2">F4/F$2</f>
        <v>1</v>
      </c>
      <c r="M4" s="3" t="b">
        <f>OR(H4&lt;0.5,I4&lt;0.5,J4&lt;0.5,K4&lt;0.5)</f>
        <v>0</v>
      </c>
    </row>
    <row r="5" spans="1:13" x14ac:dyDescent="0.3">
      <c r="A5" t="s">
        <v>10</v>
      </c>
      <c r="B5" t="s">
        <v>11</v>
      </c>
      <c r="C5">
        <v>9</v>
      </c>
      <c r="D5">
        <v>20</v>
      </c>
      <c r="E5">
        <v>100</v>
      </c>
      <c r="F5">
        <v>1</v>
      </c>
      <c r="H5" s="3">
        <f t="shared" ref="H5:H20" si="3">C5/C$2</f>
        <v>0.9</v>
      </c>
      <c r="I5" s="3">
        <f t="shared" si="0"/>
        <v>1</v>
      </c>
      <c r="J5" s="3">
        <f t="shared" si="1"/>
        <v>1</v>
      </c>
      <c r="K5" s="3">
        <f t="shared" si="2"/>
        <v>1</v>
      </c>
      <c r="M5" s="3" t="b">
        <f t="shared" ref="M5:M20" si="4">OR(H5&lt;0.5,I5&lt;0.5,J5&lt;0.5,K5&lt;0.5)</f>
        <v>0</v>
      </c>
    </row>
    <row r="6" spans="1:13" x14ac:dyDescent="0.3">
      <c r="A6" t="s">
        <v>12</v>
      </c>
      <c r="B6" t="s">
        <v>13</v>
      </c>
      <c r="C6">
        <v>8</v>
      </c>
      <c r="D6">
        <v>17</v>
      </c>
      <c r="E6">
        <v>82</v>
      </c>
      <c r="F6">
        <v>1</v>
      </c>
      <c r="H6" s="3">
        <f t="shared" si="3"/>
        <v>0.8</v>
      </c>
      <c r="I6" s="3">
        <f t="shared" si="0"/>
        <v>0.85</v>
      </c>
      <c r="J6" s="3">
        <f t="shared" si="1"/>
        <v>0.82</v>
      </c>
      <c r="K6" s="3">
        <f t="shared" si="2"/>
        <v>1</v>
      </c>
      <c r="M6" s="3" t="b">
        <f t="shared" si="4"/>
        <v>0</v>
      </c>
    </row>
    <row r="7" spans="1:13" x14ac:dyDescent="0.3">
      <c r="A7" t="s">
        <v>14</v>
      </c>
      <c r="B7" t="s">
        <v>15</v>
      </c>
      <c r="C7">
        <v>9</v>
      </c>
      <c r="D7">
        <v>10</v>
      </c>
      <c r="E7">
        <v>73</v>
      </c>
      <c r="F7">
        <v>1</v>
      </c>
      <c r="H7" s="3">
        <f t="shared" si="3"/>
        <v>0.9</v>
      </c>
      <c r="I7" s="3">
        <f t="shared" si="0"/>
        <v>0.5</v>
      </c>
      <c r="J7" s="3">
        <f t="shared" si="1"/>
        <v>0.73</v>
      </c>
      <c r="K7" s="3">
        <f t="shared" si="2"/>
        <v>1</v>
      </c>
      <c r="M7" s="3" t="b">
        <f t="shared" si="4"/>
        <v>0</v>
      </c>
    </row>
    <row r="8" spans="1:13" x14ac:dyDescent="0.3">
      <c r="A8" t="s">
        <v>16</v>
      </c>
      <c r="B8" t="s">
        <v>17</v>
      </c>
      <c r="C8">
        <v>10</v>
      </c>
      <c r="D8">
        <v>20</v>
      </c>
      <c r="E8">
        <v>59</v>
      </c>
      <c r="F8">
        <v>1</v>
      </c>
      <c r="H8" s="3">
        <f t="shared" si="3"/>
        <v>1</v>
      </c>
      <c r="I8" s="3">
        <f t="shared" si="0"/>
        <v>1</v>
      </c>
      <c r="J8" s="3">
        <f t="shared" si="1"/>
        <v>0.59</v>
      </c>
      <c r="K8" s="3">
        <f t="shared" si="2"/>
        <v>1</v>
      </c>
      <c r="M8" s="3" t="b">
        <f t="shared" si="4"/>
        <v>0</v>
      </c>
    </row>
    <row r="9" spans="1:13" x14ac:dyDescent="0.3">
      <c r="A9" t="s">
        <v>18</v>
      </c>
      <c r="B9" t="s">
        <v>19</v>
      </c>
      <c r="C9">
        <v>9</v>
      </c>
      <c r="D9">
        <v>17</v>
      </c>
      <c r="E9">
        <v>100</v>
      </c>
      <c r="F9">
        <v>1</v>
      </c>
      <c r="H9" s="3">
        <f t="shared" si="3"/>
        <v>0.9</v>
      </c>
      <c r="I9" s="3">
        <f t="shared" si="0"/>
        <v>0.85</v>
      </c>
      <c r="J9" s="3">
        <f t="shared" si="1"/>
        <v>1</v>
      </c>
      <c r="K9" s="3">
        <f t="shared" si="2"/>
        <v>1</v>
      </c>
      <c r="M9" s="3" t="b">
        <f t="shared" si="4"/>
        <v>0</v>
      </c>
    </row>
    <row r="10" spans="1:13" x14ac:dyDescent="0.3">
      <c r="A10" t="s">
        <v>20</v>
      </c>
      <c r="B10" t="s">
        <v>21</v>
      </c>
      <c r="C10">
        <v>8</v>
      </c>
      <c r="D10">
        <v>20</v>
      </c>
      <c r="E10">
        <v>100</v>
      </c>
      <c r="F10">
        <v>0</v>
      </c>
      <c r="H10" s="3">
        <f t="shared" si="3"/>
        <v>0.8</v>
      </c>
      <c r="I10" s="3">
        <f t="shared" si="0"/>
        <v>1</v>
      </c>
      <c r="J10" s="3">
        <f t="shared" si="1"/>
        <v>1</v>
      </c>
      <c r="K10" s="3">
        <f t="shared" si="2"/>
        <v>0</v>
      </c>
      <c r="M10" s="3" t="b">
        <f t="shared" si="4"/>
        <v>1</v>
      </c>
    </row>
    <row r="11" spans="1:13" x14ac:dyDescent="0.3">
      <c r="A11" t="s">
        <v>22</v>
      </c>
      <c r="B11" t="s">
        <v>23</v>
      </c>
      <c r="C11">
        <v>5</v>
      </c>
      <c r="D11">
        <v>6</v>
      </c>
      <c r="E11">
        <v>100</v>
      </c>
      <c r="F11">
        <v>1</v>
      </c>
      <c r="H11" s="3">
        <f t="shared" si="3"/>
        <v>0.5</v>
      </c>
      <c r="I11" s="3">
        <f t="shared" si="0"/>
        <v>0.3</v>
      </c>
      <c r="J11" s="3">
        <f t="shared" si="1"/>
        <v>1</v>
      </c>
      <c r="K11" s="3">
        <f t="shared" si="2"/>
        <v>1</v>
      </c>
      <c r="M11" s="3" t="b">
        <f t="shared" si="4"/>
        <v>1</v>
      </c>
    </row>
    <row r="12" spans="1:13" x14ac:dyDescent="0.3">
      <c r="A12" t="s">
        <v>24</v>
      </c>
      <c r="B12" t="s">
        <v>25</v>
      </c>
      <c r="C12">
        <v>10</v>
      </c>
      <c r="D12">
        <v>20</v>
      </c>
      <c r="E12">
        <v>67</v>
      </c>
      <c r="F12">
        <v>1</v>
      </c>
      <c r="H12" s="3">
        <f t="shared" si="3"/>
        <v>1</v>
      </c>
      <c r="I12" s="3">
        <f t="shared" si="0"/>
        <v>1</v>
      </c>
      <c r="J12" s="3">
        <f t="shared" si="1"/>
        <v>0.67</v>
      </c>
      <c r="K12" s="3">
        <f t="shared" si="2"/>
        <v>1</v>
      </c>
      <c r="M12" s="3" t="b">
        <f t="shared" si="4"/>
        <v>0</v>
      </c>
    </row>
    <row r="13" spans="1:13" x14ac:dyDescent="0.3">
      <c r="A13" t="s">
        <v>26</v>
      </c>
      <c r="B13" t="s">
        <v>27</v>
      </c>
      <c r="C13">
        <v>9</v>
      </c>
      <c r="D13">
        <v>20</v>
      </c>
      <c r="E13">
        <v>70</v>
      </c>
      <c r="F13">
        <v>1</v>
      </c>
      <c r="H13" s="3">
        <f t="shared" si="3"/>
        <v>0.9</v>
      </c>
      <c r="I13" s="3">
        <f t="shared" si="0"/>
        <v>1</v>
      </c>
      <c r="J13" s="3">
        <f t="shared" si="1"/>
        <v>0.7</v>
      </c>
      <c r="K13" s="3">
        <f t="shared" si="2"/>
        <v>1</v>
      </c>
      <c r="M13" s="3" t="b">
        <f t="shared" si="4"/>
        <v>0</v>
      </c>
    </row>
    <row r="14" spans="1:13" x14ac:dyDescent="0.3">
      <c r="A14" t="s">
        <v>28</v>
      </c>
      <c r="B14" t="s">
        <v>29</v>
      </c>
      <c r="C14">
        <v>10</v>
      </c>
      <c r="D14">
        <v>19</v>
      </c>
      <c r="E14">
        <v>80</v>
      </c>
      <c r="F14">
        <v>1</v>
      </c>
      <c r="H14" s="3">
        <f t="shared" si="3"/>
        <v>1</v>
      </c>
      <c r="I14" s="3">
        <f t="shared" si="0"/>
        <v>0.95</v>
      </c>
      <c r="J14" s="3">
        <f t="shared" si="1"/>
        <v>0.8</v>
      </c>
      <c r="K14" s="3">
        <f t="shared" si="2"/>
        <v>1</v>
      </c>
      <c r="M14" s="3" t="b">
        <f t="shared" si="4"/>
        <v>0</v>
      </c>
    </row>
    <row r="15" spans="1:13" x14ac:dyDescent="0.3">
      <c r="A15" t="s">
        <v>30</v>
      </c>
      <c r="B15" t="s">
        <v>31</v>
      </c>
      <c r="C15">
        <v>8</v>
      </c>
      <c r="D15">
        <v>17</v>
      </c>
      <c r="E15">
        <v>90</v>
      </c>
      <c r="F15">
        <v>1</v>
      </c>
      <c r="H15" s="3">
        <f t="shared" si="3"/>
        <v>0.8</v>
      </c>
      <c r="I15" s="3">
        <f t="shared" si="0"/>
        <v>0.85</v>
      </c>
      <c r="J15" s="3">
        <f t="shared" si="1"/>
        <v>0.9</v>
      </c>
      <c r="K15" s="3">
        <f t="shared" si="2"/>
        <v>1</v>
      </c>
      <c r="M15" s="3" t="b">
        <f t="shared" si="4"/>
        <v>0</v>
      </c>
    </row>
    <row r="16" spans="1:13" x14ac:dyDescent="0.3">
      <c r="A16" t="s">
        <v>32</v>
      </c>
      <c r="B16" t="s">
        <v>33</v>
      </c>
      <c r="C16">
        <v>9</v>
      </c>
      <c r="D16">
        <v>19</v>
      </c>
      <c r="E16">
        <v>45</v>
      </c>
      <c r="F16">
        <v>0</v>
      </c>
      <c r="H16" s="3">
        <f t="shared" si="3"/>
        <v>0.9</v>
      </c>
      <c r="I16" s="3">
        <f t="shared" si="0"/>
        <v>0.95</v>
      </c>
      <c r="J16" s="3">
        <f t="shared" si="1"/>
        <v>0.45</v>
      </c>
      <c r="K16" s="3">
        <f t="shared" si="2"/>
        <v>0</v>
      </c>
      <c r="M16" s="3" t="b">
        <f t="shared" si="4"/>
        <v>1</v>
      </c>
    </row>
    <row r="17" spans="1:13" x14ac:dyDescent="0.3">
      <c r="A17" t="s">
        <v>34</v>
      </c>
      <c r="B17" t="s">
        <v>35</v>
      </c>
      <c r="C17">
        <v>7</v>
      </c>
      <c r="D17">
        <v>20</v>
      </c>
      <c r="E17">
        <v>90</v>
      </c>
      <c r="F17">
        <v>1</v>
      </c>
      <c r="H17" s="3">
        <f t="shared" si="3"/>
        <v>0.7</v>
      </c>
      <c r="I17" s="3">
        <f t="shared" si="0"/>
        <v>1</v>
      </c>
      <c r="J17" s="3">
        <f t="shared" si="1"/>
        <v>0.9</v>
      </c>
      <c r="K17" s="3">
        <f t="shared" si="2"/>
        <v>1</v>
      </c>
      <c r="M17" s="3" t="b">
        <f t="shared" si="4"/>
        <v>0</v>
      </c>
    </row>
    <row r="18" spans="1:13" x14ac:dyDescent="0.3">
      <c r="A18" t="s">
        <v>36</v>
      </c>
      <c r="B18" t="s">
        <v>37</v>
      </c>
      <c r="C18">
        <v>10</v>
      </c>
      <c r="D18">
        <v>10</v>
      </c>
      <c r="E18">
        <v>80</v>
      </c>
      <c r="F18">
        <v>1</v>
      </c>
      <c r="H18" s="3">
        <f t="shared" si="3"/>
        <v>1</v>
      </c>
      <c r="I18" s="3">
        <f t="shared" si="0"/>
        <v>0.5</v>
      </c>
      <c r="J18" s="3">
        <f t="shared" si="1"/>
        <v>0.8</v>
      </c>
      <c r="K18" s="3">
        <f t="shared" si="2"/>
        <v>1</v>
      </c>
      <c r="M18" s="3" t="b">
        <f t="shared" si="4"/>
        <v>0</v>
      </c>
    </row>
    <row r="19" spans="1:13" x14ac:dyDescent="0.3">
      <c r="A19" t="s">
        <v>38</v>
      </c>
      <c r="B19" t="s">
        <v>39</v>
      </c>
      <c r="C19">
        <v>11</v>
      </c>
      <c r="D19">
        <v>20</v>
      </c>
      <c r="E19">
        <v>69</v>
      </c>
      <c r="F19">
        <v>1</v>
      </c>
      <c r="H19" s="3">
        <f t="shared" si="3"/>
        <v>1.1000000000000001</v>
      </c>
      <c r="I19" s="3">
        <f t="shared" si="0"/>
        <v>1</v>
      </c>
      <c r="J19" s="3">
        <f t="shared" si="1"/>
        <v>0.69</v>
      </c>
      <c r="K19" s="3">
        <f t="shared" si="2"/>
        <v>1</v>
      </c>
      <c r="M19" s="3" t="b">
        <f t="shared" si="4"/>
        <v>0</v>
      </c>
    </row>
    <row r="20" spans="1:13" x14ac:dyDescent="0.3">
      <c r="A20" t="s">
        <v>40</v>
      </c>
      <c r="B20" t="s">
        <v>41</v>
      </c>
      <c r="C20">
        <v>10</v>
      </c>
      <c r="D20">
        <v>14</v>
      </c>
      <c r="E20">
        <v>90</v>
      </c>
      <c r="F20">
        <v>1</v>
      </c>
      <c r="H20" s="3">
        <f t="shared" si="3"/>
        <v>1</v>
      </c>
      <c r="I20" s="3">
        <f t="shared" si="0"/>
        <v>0.7</v>
      </c>
      <c r="J20" s="3">
        <f t="shared" si="1"/>
        <v>0.9</v>
      </c>
      <c r="K20" s="3">
        <f t="shared" si="2"/>
        <v>1</v>
      </c>
      <c r="M20" s="3" t="b">
        <f t="shared" si="4"/>
        <v>0</v>
      </c>
    </row>
    <row r="22" spans="1:13" x14ac:dyDescent="0.3">
      <c r="A22" t="s">
        <v>43</v>
      </c>
      <c r="C22">
        <f>MAX(C4:C20)</f>
        <v>11</v>
      </c>
      <c r="D22">
        <f t="shared" ref="D22:F22" si="5">MAX(D4:D20)</f>
        <v>20</v>
      </c>
      <c r="E22">
        <f t="shared" si="5"/>
        <v>100</v>
      </c>
      <c r="F22">
        <f t="shared" si="5"/>
        <v>1</v>
      </c>
      <c r="H22">
        <f>MAX(H4:H20)</f>
        <v>1.1000000000000001</v>
      </c>
      <c r="I22">
        <f t="shared" ref="I22:K22" si="6">MAX(I4:I20)</f>
        <v>1</v>
      </c>
      <c r="J22">
        <f t="shared" si="6"/>
        <v>1</v>
      </c>
      <c r="K22">
        <f t="shared" si="6"/>
        <v>1</v>
      </c>
    </row>
    <row r="23" spans="1:13" x14ac:dyDescent="0.3">
      <c r="A23" t="s">
        <v>44</v>
      </c>
      <c r="C23">
        <f>MIN(C4:C20)</f>
        <v>5</v>
      </c>
      <c r="D23">
        <f t="shared" ref="D23:F23" si="7">MIN(D4:D20)</f>
        <v>6</v>
      </c>
      <c r="E23">
        <f t="shared" si="7"/>
        <v>45</v>
      </c>
      <c r="F23">
        <f t="shared" si="7"/>
        <v>0</v>
      </c>
      <c r="H23">
        <f>MIN(H4:H20)</f>
        <v>0.5</v>
      </c>
      <c r="I23">
        <f t="shared" ref="I23:K23" si="8">MIN(I4:I20)</f>
        <v>0.3</v>
      </c>
      <c r="J23">
        <f t="shared" si="8"/>
        <v>0.45</v>
      </c>
      <c r="K23">
        <f t="shared" si="8"/>
        <v>0</v>
      </c>
    </row>
    <row r="24" spans="1:13" x14ac:dyDescent="0.3">
      <c r="A24" t="s">
        <v>45</v>
      </c>
      <c r="C24">
        <f>AVERAGE(C4:C20)</f>
        <v>8.9411764705882355</v>
      </c>
      <c r="D24">
        <f t="shared" ref="D24:F24" si="9">AVERAGE(D4:D20)</f>
        <v>16.941176470588236</v>
      </c>
      <c r="E24">
        <f t="shared" si="9"/>
        <v>81.647058823529406</v>
      </c>
      <c r="F24">
        <f t="shared" si="9"/>
        <v>0.88235294117647056</v>
      </c>
      <c r="H24">
        <f>AVERAGE(H4:H20)</f>
        <v>0.89411764705882346</v>
      </c>
      <c r="I24">
        <f t="shared" ref="I24:K24" si="10">AVERAGE(I4:I20)</f>
        <v>0.84705882352941153</v>
      </c>
      <c r="J24">
        <f t="shared" si="10"/>
        <v>0.81647058823529417</v>
      </c>
      <c r="K24">
        <f t="shared" si="10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ontainsText" dxfId="0" priority="1" operator="containsText" text="true">
      <formula>NOT(ISERROR(SEARCH("true",M4)))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 GOUTHAM</dc:creator>
  <cp:lastModifiedBy>GUNDA GOUTHAM</cp:lastModifiedBy>
  <dcterms:created xsi:type="dcterms:W3CDTF">2026-03-23T11:55:02Z</dcterms:created>
  <dcterms:modified xsi:type="dcterms:W3CDTF">2026-03-28T08:31:58Z</dcterms:modified>
</cp:coreProperties>
</file>